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e70337b1991cbb/"/>
    </mc:Choice>
  </mc:AlternateContent>
  <xr:revisionPtr revIDLastSave="0" documentId="11_5523B3152DF8ACBF09EF790670560CA704E1276F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Entrada de Datos" sheetId="1" r:id="rId1"/>
    <sheet name="Cálculos Internos" sheetId="2" r:id="rId2"/>
    <sheet name="Reporte Ejecutivo" sheetId="3" r:id="rId3"/>
  </sheets>
  <definedNames>
    <definedName name="_xlnm.Print_Area" localSheetId="2">'Reporte Ejecutivo'!$A$1:$G$84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3" i="3" l="1"/>
  <c r="F63" i="3"/>
  <c r="E63" i="3"/>
  <c r="D63" i="3"/>
  <c r="C63" i="3"/>
  <c r="B12" i="3"/>
  <c r="E8" i="3"/>
  <c r="C8" i="3"/>
  <c r="E7" i="3"/>
  <c r="C7" i="3"/>
  <c r="C38" i="2"/>
  <c r="C34" i="2"/>
  <c r="C30" i="2"/>
  <c r="C26" i="2"/>
  <c r="C22" i="2"/>
  <c r="C18" i="2"/>
  <c r="C14" i="2"/>
  <c r="C9" i="2"/>
  <c r="C20" i="1"/>
  <c r="C5" i="2" s="1"/>
  <c r="F38" i="2" l="1"/>
  <c r="C50" i="2" s="1"/>
  <c r="C25" i="3" s="1"/>
  <c r="E25" i="3" s="1"/>
  <c r="E38" i="2"/>
  <c r="F34" i="2"/>
  <c r="C49" i="2" s="1"/>
  <c r="C24" i="3" s="1"/>
  <c r="E24" i="3" s="1"/>
  <c r="E34" i="2"/>
  <c r="E30" i="2"/>
  <c r="F30" i="2"/>
  <c r="C48" i="2" s="1"/>
  <c r="C23" i="3" s="1"/>
  <c r="E23" i="3" s="1"/>
  <c r="E26" i="2"/>
  <c r="F26" i="2"/>
  <c r="C47" i="2" s="1"/>
  <c r="C22" i="3" s="1"/>
  <c r="E22" i="3" s="1"/>
  <c r="E22" i="2"/>
  <c r="F22" i="2"/>
  <c r="C46" i="2" s="1"/>
  <c r="C21" i="3" s="1"/>
  <c r="E21" i="3" s="1"/>
  <c r="E18" i="2"/>
  <c r="F18" i="2" s="1"/>
  <c r="C45" i="2" s="1"/>
  <c r="C20" i="3" s="1"/>
  <c r="E20" i="3" s="1"/>
  <c r="E14" i="2"/>
  <c r="F14" i="2" s="1"/>
  <c r="C44" i="2" s="1"/>
  <c r="C19" i="3" s="1"/>
  <c r="E19" i="3" s="1"/>
  <c r="C10" i="2"/>
  <c r="E9" i="2"/>
  <c r="C63" i="2"/>
  <c r="D12" i="3"/>
  <c r="C53" i="2"/>
  <c r="E10" i="2" l="1"/>
  <c r="F10" i="2" s="1"/>
  <c r="C43" i="2" s="1"/>
  <c r="F9" i="2"/>
  <c r="C18" i="3" l="1"/>
  <c r="C51" i="2"/>
  <c r="C26" i="3" l="1"/>
  <c r="E26" i="3" s="1"/>
  <c r="E18" i="3"/>
  <c r="C54" i="2"/>
  <c r="C61" i="2"/>
  <c r="C62" i="2" s="1"/>
  <c r="D61" i="2"/>
  <c r="E61" i="2"/>
  <c r="D44" i="2"/>
  <c r="D19" i="3" s="1"/>
  <c r="D47" i="2"/>
  <c r="D22" i="3" s="1"/>
  <c r="G61" i="2"/>
  <c r="F12" i="3"/>
  <c r="D43" i="2"/>
  <c r="D18" i="3" s="1"/>
  <c r="D45" i="2"/>
  <c r="D20" i="3" s="1"/>
  <c r="D46" i="2"/>
  <c r="D21" i="3" s="1"/>
  <c r="D48" i="2"/>
  <c r="D23" i="3" s="1"/>
  <c r="D49" i="2"/>
  <c r="D24" i="3" s="1"/>
  <c r="D50" i="2"/>
  <c r="D25" i="3" s="1"/>
  <c r="F61" i="2"/>
  <c r="C55" i="2" l="1"/>
  <c r="B14" i="3" s="1"/>
  <c r="C57" i="2"/>
  <c r="F14" i="3" s="1"/>
  <c r="C56" i="2"/>
  <c r="D14" i="3" s="1"/>
  <c r="D62" i="2"/>
  <c r="C64" i="2"/>
  <c r="C65" i="2" s="1"/>
  <c r="C62" i="3"/>
  <c r="E62" i="2" l="1"/>
  <c r="D64" i="2"/>
  <c r="D65" i="2" s="1"/>
  <c r="D62" i="3"/>
  <c r="F62" i="2" l="1"/>
  <c r="E64" i="2"/>
  <c r="E65" i="2" s="1"/>
  <c r="E62" i="3"/>
  <c r="G62" i="2" l="1"/>
  <c r="F64" i="2"/>
  <c r="F65" i="2" s="1"/>
  <c r="F62" i="3"/>
  <c r="G64" i="2" l="1"/>
  <c r="G65" i="2" s="1"/>
  <c r="G62" i="3"/>
</calcChain>
</file>

<file path=xl/sharedStrings.xml><?xml version="1.0" encoding="utf-8"?>
<sst xmlns="http://schemas.openxmlformats.org/spreadsheetml/2006/main" count="224" uniqueCount="172">
  <si>
    <t>CALCULADORA ROI - COLECTORES DE VIBRACIÓN</t>
  </si>
  <si>
    <t>A-MAQ S.A. | Mantenimiento Predictivo y Análisis de Vibración</t>
  </si>
  <si>
    <t>INFORMACIÓN DEL CLIENTE</t>
  </si>
  <si>
    <t>Nombre de la Empresa</t>
  </si>
  <si>
    <t>Ej: EPM, Celsia, Postobón</t>
  </si>
  <si>
    <t>Sector Industrial</t>
  </si>
  <si>
    <t>Hidroeléctrica, Manufactura, Empaque, Otro</t>
  </si>
  <si>
    <t>Nombre del Contacto</t>
  </si>
  <si>
    <t>Persona encargada de mantenimiento</t>
  </si>
  <si>
    <t>Cargo</t>
  </si>
  <si>
    <t>Ej: Jefe de Mantenimiento</t>
  </si>
  <si>
    <t>Teléfono / Email</t>
  </si>
  <si>
    <t>Datos de contacto</t>
  </si>
  <si>
    <t>Fecha de Evaluación</t>
  </si>
  <si>
    <t>DD/MM/AAAA</t>
  </si>
  <si>
    <t>SELECCIÓN DEL COLECTOR DE VIBRACIÓN</t>
  </si>
  <si>
    <t>Modelo</t>
  </si>
  <si>
    <t>Nivel</t>
  </si>
  <si>
    <t>Precio (COP)</t>
  </si>
  <si>
    <t>Características</t>
  </si>
  <si>
    <t>Vidrio</t>
  </si>
  <si>
    <t>Básico</t>
  </si>
  <si>
    <t>Colector básico para rutas de inspección estándar</t>
  </si>
  <si>
    <t>Ba 3 Pro</t>
  </si>
  <si>
    <t>Intermedio</t>
  </si>
  <si>
    <t>Colector profesional con análisis avanzado</t>
  </si>
  <si>
    <t>Ba 5</t>
  </si>
  <si>
    <t>Full / Avanzado</t>
  </si>
  <si>
    <t>Sistema completo de monitoreo y análisis ($110M-$120M)</t>
  </si>
  <si>
    <t>Modelo Seleccionado</t>
  </si>
  <si>
    <t>Inversión Total (COP)</t>
  </si>
  <si>
    <t>Para Ba 5: edite manualmente si el precio difiere ($110M-$120M)</t>
  </si>
  <si>
    <t>Inversión Personalizada (opcional)</t>
  </si>
  <si>
    <t>Complete solo si desea usar un precio diferente al automático</t>
  </si>
  <si>
    <t>DATOS OPERACIONALES DE LA PLANTA</t>
  </si>
  <si>
    <t>Número total de activos (equipos rotativos) en la planta</t>
  </si>
  <si>
    <t>Motores, bombas, ventiladores, turbinas, etc.</t>
  </si>
  <si>
    <t>Cantidad de activos CRÍTICOS (su falla detiene producción)</t>
  </si>
  <si>
    <t>Solo aquellos cuya falla genera paro de línea/planta</t>
  </si>
  <si>
    <t>Costo promedio por hora de paro por activo crítico (COP/hora)</t>
  </si>
  <si>
    <t>Incluye lucro cesante + producción perdida</t>
  </si>
  <si>
    <t>Frecuencia actual de fallas no planificadas (paros/año)</t>
  </si>
  <si>
    <t>Promedio de eventos de paro no programado al año</t>
  </si>
  <si>
    <t>Duración promedio de cada paro no planificado (horas)</t>
  </si>
  <si>
    <t>Tiempo desde falla hasta restablecimiento completo</t>
  </si>
  <si>
    <t>Costo promedio de intervención correctiva externa (COP)</t>
  </si>
  <si>
    <t>Contratación de servicio técnico externo por evento</t>
  </si>
  <si>
    <t>Número de intervenciones correctivas externas al año</t>
  </si>
  <si>
    <t>Cantidad de veces que se contrata servicio externo</t>
  </si>
  <si>
    <t>Horas-hombre mensuales en mantenimiento reactivo</t>
  </si>
  <si>
    <t>Horas del equipo interno dedicadas a reparar fallas</t>
  </si>
  <si>
    <t>Costo hora-hombre del personal de mantenimiento (COP/h)</t>
  </si>
  <si>
    <t>Incluye prestaciones y carga laboral</t>
  </si>
  <si>
    <t>Días promedio de demora en obtención de repuestos críticos</t>
  </si>
  <si>
    <t>Tiempo de espera desde pedido hasta recepción</t>
  </si>
  <si>
    <t>Costo promedio del inventario de repuestos críticos (COP/año)</t>
  </si>
  <si>
    <t>Valor del stock de partes de repuesto mantenido</t>
  </si>
  <si>
    <t>Horas de paro programado anuales (mantenimiento preventivo)</t>
  </si>
  <si>
    <t>Ventanas de mantenimiento que afectan producción</t>
  </si>
  <si>
    <t>Costo de producción perdida por hora de paro programado (COP)</t>
  </si>
  <si>
    <t>Valor de producción no realizada por mantenimiento</t>
  </si>
  <si>
    <t>Facturación mensual de la planta (COP)</t>
  </si>
  <si>
    <t>Ingreso mensual aproximado para referencia</t>
  </si>
  <si>
    <t>FACTORES DE MEJORA ESPERADOS (BENCHMARKS DE LA INDUSTRIA)</t>
  </si>
  <si>
    <t>% Reducción de fallas no planificadas con monitoreo predictivo</t>
  </si>
  <si>
    <t>Benchmark: 50-75% (DOE, McKinsey)</t>
  </si>
  <si>
    <t>% Reducción de costos de mantenimiento correctivo</t>
  </si>
  <si>
    <t>Benchmark: 25-40% (DOE)</t>
  </si>
  <si>
    <t>% Optimización de horas-hombre (menos reactivo)</t>
  </si>
  <si>
    <t>Benchmark: 30-60% (PWC)</t>
  </si>
  <si>
    <t>% Reducción de demoras por repuestos (inventario optimizado)</t>
  </si>
  <si>
    <t>Benchmark: 20-30% (industria)</t>
  </si>
  <si>
    <t>% Reducción de paros programados (mejor planificación)</t>
  </si>
  <si>
    <t>Benchmark: 15-25% (Metrix, Farnell)</t>
  </si>
  <si>
    <t>% Extensión de vida útil de activos</t>
  </si>
  <si>
    <t>Benchmark: 20-40% (McKinsey)</t>
  </si>
  <si>
    <t>% Ahorro en consumo energético por alineación/balanceo</t>
  </si>
  <si>
    <t>Benchmark: 5-8% (Vista Projects)</t>
  </si>
  <si>
    <t>% Reducción de riesgos de seguridad / primas de seguro</t>
  </si>
  <si>
    <t>Benchmark: 5-15% (OPMaint, PWC)</t>
  </si>
  <si>
    <t>Nota: Los valores azules son editables. Ajuste los datos según la situación real de cada cliente.</t>
  </si>
  <si>
    <t>Fuentes: U.S. Department of Energy, McKinsey &amp; Company, PWC Predictive Maintenance 4.0, Metrix Vibration, Vista Projects</t>
  </si>
  <si>
    <t>CÁLCULOS INTERNOS - FACTORES DE AHORRO</t>
  </si>
  <si>
    <t>INVERSIÓN</t>
  </si>
  <si>
    <t>FACTOR 1: REDUCCIÓN DE LUCRO CESANTE POR PAROS NO PLANIFICADOS</t>
  </si>
  <si>
    <t>Concepto</t>
  </si>
  <si>
    <t>Valor Actual</t>
  </si>
  <si>
    <t>Fórmula / Referencia</t>
  </si>
  <si>
    <t>Con Predictivo</t>
  </si>
  <si>
    <t>Ahorro Anual</t>
  </si>
  <si>
    <t>Horas de paro no planificado al año</t>
  </si>
  <si>
    <t>Fallas/año × Horas/falla</t>
  </si>
  <si>
    <t>Costo total de lucro cesante anual (COP)</t>
  </si>
  <si>
    <t>Horas paro × Costo/hora</t>
  </si>
  <si>
    <t>FACTOR 2: REDUCCIÓN DE COSTOS DE MANTENIMIENTO CORRECTIVO EXTERNO</t>
  </si>
  <si>
    <t>Costo anual mantenimiento correctivo externo</t>
  </si>
  <si>
    <t>Costo/intervención × N° intervenciones</t>
  </si>
  <si>
    <t>FACTOR 3: OPTIMIZACIÓN DE HORAS-HOMBRE DE MANTENIMIENTO</t>
  </si>
  <si>
    <t>Costo anual HH en mantenimiento reactivo</t>
  </si>
  <si>
    <t>HH/mes × 12 × Costo/HH</t>
  </si>
  <si>
    <t>FACTOR 4: OPTIMIZACIÓN DE INVENTARIO Y REDUCCIÓN DE DEMORAS POR REPUESTOS</t>
  </si>
  <si>
    <t>Costo de demoras + sobre-inventario anual</t>
  </si>
  <si>
    <t>Días×8h×Costo/h×(30% fallas requieren repuestos) + Inventario</t>
  </si>
  <si>
    <t>FACTOR 5: REDUCCIÓN DE PAROS PROGRAMADOS (VENTANAS DE MANTENIMIENTO)</t>
  </si>
  <si>
    <t>Costo anual de producción perdida por paros programados</t>
  </si>
  <si>
    <t>Horas paro × Costo/hora producción</t>
  </si>
  <si>
    <t>FACTOR 6: EXTENSIÓN DE VIDA ÚTIL DE ACTIVOS (CAPEX DIFERIDO)</t>
  </si>
  <si>
    <t>Ahorro anual por diferimiento de reposición de activos</t>
  </si>
  <si>
    <t>N° activos críticos × $50M reposición promedio / 15 años</t>
  </si>
  <si>
    <t>FACTOR 7: AHORRO ENERGÉTICO POR CORRECCIÓN DE DESALINEACIÓN Y DESBALANCEO</t>
  </si>
  <si>
    <t>Ahorro energético anual estimado</t>
  </si>
  <si>
    <t>Activos × 50HP prom × 0.746kW × 6000h × $500/kWh</t>
  </si>
  <si>
    <t>FACTOR 8: REDUCCIÓN DE RIESGOS DE SEGURIDAD Y PRIMAS DE SEGURO</t>
  </si>
  <si>
    <t>Ahorro estimado en seguros y costos por incidentes</t>
  </si>
  <si>
    <t>Facturación anual × 2% (base seguros/seguridad)</t>
  </si>
  <si>
    <t>RESUMEN DE AHORROS Y CÁLCULO DE ROI</t>
  </si>
  <si>
    <t>Factor de Ahorro</t>
  </si>
  <si>
    <t>Ahorro Anual (COP)</t>
  </si>
  <si>
    <t>% del Total</t>
  </si>
  <si>
    <t>1. Reducción de Lucro Cesante</t>
  </si>
  <si>
    <t>2. Reducción de Costos Correctivos</t>
  </si>
  <si>
    <t>3. Optimización de Horas-Hombre</t>
  </si>
  <si>
    <t>4. Optimización de Inventario / Repuestos</t>
  </si>
  <si>
    <t>5. Reducción de Paros Programados</t>
  </si>
  <si>
    <t>6. Extensión de Vida Útil (CAPEX Diferido)</t>
  </si>
  <si>
    <t>7. Ahorro Energético</t>
  </si>
  <si>
    <t>8. Reducción de Riesgos / Seguros</t>
  </si>
  <si>
    <t>AHORRO TOTAL ANUAL</t>
  </si>
  <si>
    <t>100%</t>
  </si>
  <si>
    <t>INVERSIÓN TOTAL</t>
  </si>
  <si>
    <t>AHORRO ANUAL TOTAL</t>
  </si>
  <si>
    <t>ROI PRIMER AÑO (%)</t>
  </si>
  <si>
    <t>PERÍODO DE RECUPERACIÓN (meses)</t>
  </si>
  <si>
    <t>RELACIÓN BENEFICIO/COSTO</t>
  </si>
  <si>
    <t>PROYECCIÓN FINANCIERA A 5 AÑOS</t>
  </si>
  <si>
    <t>Año 1</t>
  </si>
  <si>
    <t>Año 2</t>
  </si>
  <si>
    <t>Año 3</t>
  </si>
  <si>
    <t>Año 4</t>
  </si>
  <si>
    <t>Año 5</t>
  </si>
  <si>
    <t>Ahorro Anual Estimado</t>
  </si>
  <si>
    <t>Ahorro Acumulado</t>
  </si>
  <si>
    <t>Inversión</t>
  </si>
  <si>
    <t>Beneficio Neto Acumulado</t>
  </si>
  <si>
    <t>ROI Acumulado</t>
  </si>
  <si>
    <t>REPORTE DE RETORNO DE INVERSIÓN (ROI)</t>
  </si>
  <si>
    <t>Colectores de Vibración para Mantenimiento Predictivo</t>
  </si>
  <si>
    <t>A-MAQ S.A. | Especialistas en Análisis de Vibración</t>
  </si>
  <si>
    <t>Empresa:</t>
  </si>
  <si>
    <t>Sector:</t>
  </si>
  <si>
    <t>Contacto:</t>
  </si>
  <si>
    <t>Fecha:</t>
  </si>
  <si>
    <t>INDICADORES CLAVE DE RETORNO</t>
  </si>
  <si>
    <t>Inversión Total</t>
  </si>
  <si>
    <t>ROI Primer Año</t>
  </si>
  <si>
    <t>Payback (meses)</t>
  </si>
  <si>
    <t>Relación B/C</t>
  </si>
  <si>
    <t>DESGLOSE DE BENEFICIOS POR CATEGORÍA</t>
  </si>
  <si>
    <t>Ahorro Mensual (COP)</t>
  </si>
  <si>
    <t>Reducción de Lucro Cesante</t>
  </si>
  <si>
    <t>Reducción de Costos Correctivos</t>
  </si>
  <si>
    <t>Optimización de Horas-Hombre</t>
  </si>
  <si>
    <t>Optimización de Inventario/Repuestos</t>
  </si>
  <si>
    <t>Reducción de Paros Programados</t>
  </si>
  <si>
    <t>Extensión de Vida Útil (CAPEX Diferido)</t>
  </si>
  <si>
    <t>Ahorro Energético</t>
  </si>
  <si>
    <t>Reducción de Riesgos / Seguros</t>
  </si>
  <si>
    <t>AHORRO TOTAL</t>
  </si>
  <si>
    <t>PROYECCIÓN DE BENEFICIO NETO ACUMULADO A 5 AÑOS</t>
  </si>
  <si>
    <t>Nota: Los ahorros proyectados se basan en benchmarks de la industria (DOE, McKinsey, PWC) y datos proporcionados por el cliente. Los resultados reales pueden variar.</t>
  </si>
  <si>
    <t>A-MAQ S.A. | Medellín, Colombia | Mantenimiento Predictivo y Análisis de Vibración | www.amaq.com</t>
  </si>
  <si>
    <t>Fuentes: U.S. Department of Energy (DOE), McKinsey &amp; Company, PWC Predictive Maintenance 4.0, Metrix Vibration Methodology, Vista Projects ROI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</si>
</sst>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#,##0.0"/>
    <numFmt numFmtId="166" formatCode="0.0%"/>
    <numFmt numFmtId="167" formatCode="#,##0.0\x"/>
    <numFmt numFmtId="168" formatCode="\$#,##0,,\M"/>
  </numFmts>
  <fonts count="22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</font>
    <font>
      <sz val="10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3B3B3B"/>
      <name val="Calibri"/>
      <family val="2"/>
    </font>
    <font>
      <sz val="11"/>
      <color rgb="FF0000FF"/>
      <name val="Calibri"/>
      <family val="2"/>
    </font>
    <font>
      <i/>
      <sz val="9"/>
      <color rgb="FF6B6B6B"/>
      <name val="Calibri"/>
      <family val="2"/>
    </font>
    <font>
      <sz val="11"/>
      <color rgb="FF3B3B3B"/>
      <name val="Calibri"/>
      <family val="2"/>
    </font>
    <font>
      <b/>
      <sz val="16"/>
      <color rgb="FF002B5C"/>
      <name val="Calibri"/>
      <family val="2"/>
    </font>
    <font>
      <i/>
      <sz val="10"/>
      <color rgb="FF6B6B6B"/>
      <name val="Calibri"/>
      <family val="2"/>
    </font>
    <font>
      <b/>
      <sz val="11"/>
      <color rgb="FF27AE60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4"/>
      <color rgb="FF27AE60"/>
      <name val="Calibri"/>
      <family val="2"/>
    </font>
    <font>
      <b/>
      <sz val="14"/>
      <color rgb="FFC0392B"/>
      <name val="Calibri"/>
      <family val="2"/>
    </font>
    <font>
      <sz val="9"/>
      <color rgb="FF6B6B6B"/>
      <name val="Calibri"/>
      <family val="2"/>
    </font>
    <font>
      <b/>
      <sz val="16"/>
      <color rgb="FFC0392B"/>
      <name val="Calibri"/>
      <family val="2"/>
    </font>
    <font>
      <b/>
      <sz val="16"/>
      <color rgb="FF27AE60"/>
      <name val="Calibri"/>
      <family val="2"/>
    </font>
    <font>
      <b/>
      <sz val="18"/>
      <color rgb="FF27AE60"/>
      <name val="Calibri"/>
      <family val="2"/>
    </font>
    <font>
      <b/>
      <sz val="18"/>
      <color rgb="FF002B5C"/>
      <name val="Calibri"/>
      <family val="2"/>
    </font>
    <font>
      <b/>
      <sz val="9"/>
      <color rgb="FF002B5C"/>
      <name val="Calibri"/>
      <family val="2"/>
    </font>
    <font>
      <i/>
      <sz val="8"/>
      <color rgb="FF6B6B6B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B5C"/>
        <bgColor rgb="FF1B474D"/>
      </patternFill>
    </fill>
    <fill>
      <patternFill patternType="solid">
        <fgColor rgb="FF00579B"/>
        <bgColor rgb="FF1B474D"/>
      </patternFill>
    </fill>
    <fill>
      <patternFill patternType="solid">
        <fgColor rgb="FFFFF9E6"/>
        <bgColor rgb="FFF9F9F9"/>
      </patternFill>
    </fill>
    <fill>
      <patternFill patternType="solid">
        <fgColor rgb="FFD6E9F8"/>
        <bgColor rgb="FFE8F5E9"/>
      </patternFill>
    </fill>
    <fill>
      <patternFill patternType="solid">
        <fgColor rgb="FFE8F5E9"/>
        <bgColor rgb="FFF9F9F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6">
    <xf numFmtId="0" fontId="0" fillId="0" borderId="0" xfId="0"/>
    <xf numFmtId="165" fontId="19" fillId="0" borderId="1" xfId="0" applyNumberFormat="1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168" fontId="1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9" fillId="0" borderId="0" xfId="0" applyFont="1"/>
    <xf numFmtId="0" fontId="6" fillId="0" borderId="0" xfId="0" applyFont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 indent="1"/>
    </xf>
    <xf numFmtId="164" fontId="8" fillId="6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 indent="1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9" fontId="5" fillId="4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3" fontId="0" fillId="0" borderId="1" xfId="0" applyNumberFormat="1" applyBorder="1"/>
    <xf numFmtId="0" fontId="6" fillId="0" borderId="1" xfId="0" applyFont="1" applyBorder="1"/>
    <xf numFmtId="3" fontId="4" fillId="0" borderId="1" xfId="0" applyNumberFormat="1" applyFont="1" applyBorder="1"/>
    <xf numFmtId="164" fontId="0" fillId="0" borderId="1" xfId="0" applyNumberFormat="1" applyBorder="1"/>
    <xf numFmtId="164" fontId="10" fillId="6" borderId="1" xfId="0" applyNumberFormat="1" applyFont="1" applyFill="1" applyBorder="1"/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/>
    <xf numFmtId="16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 indent="1"/>
    </xf>
    <xf numFmtId="164" fontId="11" fillId="2" borderId="1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164" fontId="13" fillId="0" borderId="1" xfId="0" applyNumberFormat="1" applyFont="1" applyBorder="1" applyAlignment="1">
      <alignment horizontal="right" vertical="center"/>
    </xf>
    <xf numFmtId="166" fontId="8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167" fontId="8" fillId="0" borderId="1" xfId="0" applyNumberFormat="1" applyFont="1" applyBorder="1" applyAlignment="1">
      <alignment horizontal="right" vertical="center"/>
    </xf>
    <xf numFmtId="164" fontId="1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9" fontId="4" fillId="0" borderId="1" xfId="0" applyNumberFormat="1" applyFont="1" applyBorder="1" applyAlignment="1">
      <alignment horizontal="right" vertical="center"/>
    </xf>
    <xf numFmtId="0" fontId="7" fillId="0" borderId="1" xfId="0" applyFont="1" applyBorder="1"/>
    <xf numFmtId="168" fontId="17" fillId="0" borderId="1" xfId="0" applyNumberFormat="1" applyFont="1" applyBorder="1" applyAlignment="1">
      <alignment horizontal="center" vertical="center" wrapText="1"/>
    </xf>
    <xf numFmtId="167" fontId="19" fillId="0" borderId="1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 indent="1"/>
    </xf>
    <xf numFmtId="164" fontId="12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E522B"/>
      <rgbColor rgb="FF800080"/>
      <rgbColor rgb="FF20808D"/>
      <rgbColor rgb="FFD9D9D9"/>
      <rgbColor rgb="FF878787"/>
      <rgbColor rgb="FF9999FF"/>
      <rgbColor rgb="FF944454"/>
      <rgbColor rgb="FFFFF9E6"/>
      <rgbColor rgb="FFD6E9F8"/>
      <rgbColor rgb="FF660066"/>
      <rgbColor rgb="FFFF8080"/>
      <rgbColor rgb="FF00579B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BCE2E7"/>
      <rgbColor rgb="FFF9F9F9"/>
      <rgbColor rgb="FF99CCFF"/>
      <rgbColor rgb="FFFF99CC"/>
      <rgbColor rgb="FFCC99FF"/>
      <rgbColor rgb="FFFFC553"/>
      <rgbColor rgb="FF4F81BD"/>
      <rgbColor rgb="FF33CCCC"/>
      <rgbColor rgb="FF99CC00"/>
      <rgbColor rgb="FFFFCC00"/>
      <rgbColor rgb="FFFF9900"/>
      <rgbColor rgb="FFFF6600"/>
      <rgbColor rgb="FF6B6B6B"/>
      <rgbColor rgb="FF848456"/>
      <rgbColor rgb="FF002B5C"/>
      <rgbColor rgb="FF27AE60"/>
      <rgbColor rgb="FF003300"/>
      <rgbColor rgb="FF333300"/>
      <rgbColor rgb="FFA84B2F"/>
      <rgbColor rgb="FFC0392B"/>
      <rgbColor rgb="FF1B474D"/>
      <rgbColor rgb="FF3B3B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Ahorro Anual por Factor (COP)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Ejecutivo'!$C$17</c:f>
              <c:strCache>
                <c:ptCount val="1"/>
                <c:pt idx="0">
                  <c:v>Ahorro Anual (COP)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0808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440-4BD7-B0A9-D8693E9D4F6B}"/>
              </c:ext>
            </c:extLst>
          </c:dPt>
          <c:dPt>
            <c:idx val="1"/>
            <c:invertIfNegative val="0"/>
            <c:bubble3D val="0"/>
            <c:spPr>
              <a:solidFill>
                <a:srgbClr val="A84B2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440-4BD7-B0A9-D8693E9D4F6B}"/>
              </c:ext>
            </c:extLst>
          </c:dPt>
          <c:dPt>
            <c:idx val="2"/>
            <c:invertIfNegative val="0"/>
            <c:bubble3D val="0"/>
            <c:spPr>
              <a:solidFill>
                <a:srgbClr val="1B47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8440-4BD7-B0A9-D8693E9D4F6B}"/>
              </c:ext>
            </c:extLst>
          </c:dPt>
          <c:dPt>
            <c:idx val="3"/>
            <c:invertIfNegative val="0"/>
            <c:bubble3D val="0"/>
            <c:spPr>
              <a:solidFill>
                <a:srgbClr val="BCE2E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8440-4BD7-B0A9-D8693E9D4F6B}"/>
              </c:ext>
            </c:extLst>
          </c:dPt>
          <c:dPt>
            <c:idx val="4"/>
            <c:invertIfNegative val="0"/>
            <c:bubble3D val="0"/>
            <c:spPr>
              <a:solidFill>
                <a:srgbClr val="94445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8440-4BD7-B0A9-D8693E9D4F6B}"/>
              </c:ext>
            </c:extLst>
          </c:dPt>
          <c:dPt>
            <c:idx val="5"/>
            <c:invertIfNegative val="0"/>
            <c:bubble3D val="0"/>
            <c:spPr>
              <a:solidFill>
                <a:srgbClr val="FFC55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8440-4BD7-B0A9-D8693E9D4F6B}"/>
              </c:ext>
            </c:extLst>
          </c:dPt>
          <c:dPt>
            <c:idx val="6"/>
            <c:invertIfNegative val="0"/>
            <c:bubble3D val="0"/>
            <c:spPr>
              <a:solidFill>
                <a:srgbClr val="84845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8440-4BD7-B0A9-D8693E9D4F6B}"/>
              </c:ext>
            </c:extLst>
          </c:dPt>
          <c:dPt>
            <c:idx val="7"/>
            <c:invertIfNegative val="0"/>
            <c:bubble3D val="0"/>
            <c:spPr>
              <a:solidFill>
                <a:srgbClr val="6E522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8440-4BD7-B0A9-D8693E9D4F6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440-4BD7-B0A9-D8693E9D4F6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440-4BD7-B0A9-D8693E9D4F6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440-4BD7-B0A9-D8693E9D4F6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440-4BD7-B0A9-D8693E9D4F6B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8440-4BD7-B0A9-D8693E9D4F6B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8440-4BD7-B0A9-D8693E9D4F6B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8440-4BD7-B0A9-D8693E9D4F6B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8440-4BD7-B0A9-D8693E9D4F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'Reporte Ejecutivo'!$B$18:$B$25</c:f>
              <c:strCache>
                <c:ptCount val="8"/>
                <c:pt idx="0">
                  <c:v>Reducción de Lucro Cesante</c:v>
                </c:pt>
                <c:pt idx="1">
                  <c:v>Reducción de Costos Correctivos</c:v>
                </c:pt>
                <c:pt idx="2">
                  <c:v>Optimización de Horas-Hombre</c:v>
                </c:pt>
                <c:pt idx="3">
                  <c:v>Optimización de Inventario/Repuestos</c:v>
                </c:pt>
                <c:pt idx="4">
                  <c:v>Reducción de Paros Programados</c:v>
                </c:pt>
                <c:pt idx="5">
                  <c:v>Extensión de Vida Útil (CAPEX Diferido)</c:v>
                </c:pt>
                <c:pt idx="6">
                  <c:v>Ahorro Energético</c:v>
                </c:pt>
                <c:pt idx="7">
                  <c:v>Reducción de Riesgos / Seguros</c:v>
                </c:pt>
              </c:strCache>
            </c:strRef>
          </c:cat>
          <c:val>
            <c:numRef>
              <c:f>'Reporte Ejecutivo'!$C$18:$C$25</c:f>
              <c:numCache>
                <c:formatCode>\$#,##0</c:formatCode>
                <c:ptCount val="8"/>
                <c:pt idx="0">
                  <c:v>240000000</c:v>
                </c:pt>
                <c:pt idx="1">
                  <c:v>36000000</c:v>
                </c:pt>
                <c:pt idx="2">
                  <c:v>23520000</c:v>
                </c:pt>
                <c:pt idx="3">
                  <c:v>380000000</c:v>
                </c:pt>
                <c:pt idx="4">
                  <c:v>80000000</c:v>
                </c:pt>
                <c:pt idx="5">
                  <c:v>20833333.333333332</c:v>
                </c:pt>
                <c:pt idx="6">
                  <c:v>671400000</c:v>
                </c:pt>
                <c:pt idx="7">
                  <c:v>12000000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440-4BD7-B0A9-D8693E9D4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52624"/>
        <c:axId val="86099360"/>
      </c:barChart>
      <c:catAx>
        <c:axId val="7665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86099360"/>
        <c:crosses val="autoZero"/>
        <c:auto val="1"/>
        <c:lblAlgn val="ctr"/>
        <c:lblOffset val="100"/>
        <c:noMultiLvlLbl val="0"/>
      </c:catAx>
      <c:valAx>
        <c:axId val="86099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766526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Distribución de Ahorros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0808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753-43DC-8986-EF7F896D4CB4}"/>
              </c:ext>
            </c:extLst>
          </c:dPt>
          <c:dPt>
            <c:idx val="1"/>
            <c:bubble3D val="0"/>
            <c:spPr>
              <a:solidFill>
                <a:srgbClr val="A84B2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753-43DC-8986-EF7F896D4CB4}"/>
              </c:ext>
            </c:extLst>
          </c:dPt>
          <c:dPt>
            <c:idx val="2"/>
            <c:bubble3D val="0"/>
            <c:spPr>
              <a:solidFill>
                <a:srgbClr val="1B47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753-43DC-8986-EF7F896D4CB4}"/>
              </c:ext>
            </c:extLst>
          </c:dPt>
          <c:dPt>
            <c:idx val="3"/>
            <c:bubble3D val="0"/>
            <c:spPr>
              <a:solidFill>
                <a:srgbClr val="BCE2E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753-43DC-8986-EF7F896D4CB4}"/>
              </c:ext>
            </c:extLst>
          </c:dPt>
          <c:dPt>
            <c:idx val="4"/>
            <c:bubble3D val="0"/>
            <c:spPr>
              <a:solidFill>
                <a:srgbClr val="94445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7753-43DC-8986-EF7F896D4CB4}"/>
              </c:ext>
            </c:extLst>
          </c:dPt>
          <c:dPt>
            <c:idx val="5"/>
            <c:bubble3D val="0"/>
            <c:spPr>
              <a:solidFill>
                <a:srgbClr val="FFC55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7753-43DC-8986-EF7F896D4CB4}"/>
              </c:ext>
            </c:extLst>
          </c:dPt>
          <c:dPt>
            <c:idx val="6"/>
            <c:bubble3D val="0"/>
            <c:spPr>
              <a:solidFill>
                <a:srgbClr val="84845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7753-43DC-8986-EF7F896D4CB4}"/>
              </c:ext>
            </c:extLst>
          </c:dPt>
          <c:dPt>
            <c:idx val="7"/>
            <c:bubble3D val="0"/>
            <c:spPr>
              <a:solidFill>
                <a:srgbClr val="6E522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7753-43DC-8986-EF7F896D4CB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753-43DC-8986-EF7F896D4CB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753-43DC-8986-EF7F896D4CB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753-43DC-8986-EF7F896D4CB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7753-43DC-8986-EF7F896D4CB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7753-43DC-8986-EF7F896D4CB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7753-43DC-8986-EF7F896D4CB4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7753-43DC-8986-EF7F896D4CB4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7753-43DC-8986-EF7F896D4C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howBubbleSize val="1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'Reporte Ejecutivo'!$B$18:$B$25</c:f>
              <c:strCache>
                <c:ptCount val="8"/>
                <c:pt idx="0">
                  <c:v>Reducción de Lucro Cesante</c:v>
                </c:pt>
                <c:pt idx="1">
                  <c:v>Reducción de Costos Correctivos</c:v>
                </c:pt>
                <c:pt idx="2">
                  <c:v>Optimización de Horas-Hombre</c:v>
                </c:pt>
                <c:pt idx="3">
                  <c:v>Optimización de Inventario/Repuestos</c:v>
                </c:pt>
                <c:pt idx="4">
                  <c:v>Reducción de Paros Programados</c:v>
                </c:pt>
                <c:pt idx="5">
                  <c:v>Extensión de Vida Útil (CAPEX Diferido)</c:v>
                </c:pt>
                <c:pt idx="6">
                  <c:v>Ahorro Energético</c:v>
                </c:pt>
                <c:pt idx="7">
                  <c:v>Reducción de Riesgos / Seguros</c:v>
                </c:pt>
              </c:strCache>
            </c:strRef>
          </c:cat>
          <c:val>
            <c:numRef>
              <c:f>'Reporte Ejecutivo'!$C$18:$C$25</c:f>
              <c:numCache>
                <c:formatCode>\$#,##0</c:formatCode>
                <c:ptCount val="8"/>
                <c:pt idx="0">
                  <c:v>240000000</c:v>
                </c:pt>
                <c:pt idx="1">
                  <c:v>36000000</c:v>
                </c:pt>
                <c:pt idx="2">
                  <c:v>23520000</c:v>
                </c:pt>
                <c:pt idx="3">
                  <c:v>380000000</c:v>
                </c:pt>
                <c:pt idx="4">
                  <c:v>80000000</c:v>
                </c:pt>
                <c:pt idx="5">
                  <c:v>20833333.333333332</c:v>
                </c:pt>
                <c:pt idx="6">
                  <c:v>671400000</c:v>
                </c:pt>
                <c:pt idx="7">
                  <c:v>12000000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753-43DC-8986-EF7F896D4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Beneficio Neto Acumulado vs Ahorro Anual - 5 Años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080">
              <a:solidFill>
                <a:srgbClr val="002B5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'Reporte Ejecutivo'!$C$61:$G$61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'Reporte Ejecutivo'!$C$62:$G$62</c:f>
              <c:numCache>
                <c:formatCode>\$#,##0</c:formatCode>
                <c:ptCount val="5"/>
                <c:pt idx="0">
                  <c:v>1463753333.3333335</c:v>
                </c:pt>
                <c:pt idx="1">
                  <c:v>2927506666.666667</c:v>
                </c:pt>
                <c:pt idx="2">
                  <c:v>4391260000</c:v>
                </c:pt>
                <c:pt idx="3">
                  <c:v>5855013333.333334</c:v>
                </c:pt>
                <c:pt idx="4">
                  <c:v>7318766666.6666679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AB-4933-A692-75EEED438235}"/>
            </c:ext>
          </c:extLst>
        </c:ser>
        <c:ser>
          <c:idx val="1"/>
          <c:order val="1"/>
          <c:spPr>
            <a:ln w="28080">
              <a:solidFill>
                <a:srgbClr val="27AE6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'Reporte Ejecutivo'!$C$61:$G$61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'Reporte Ejecutivo'!$C$63:$G$63</c:f>
              <c:numCache>
                <c:formatCode>\$#,##0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AB-4933-A692-75EEED438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487623"/>
        <c:axId val="69498172"/>
      </c:lineChart>
      <c:catAx>
        <c:axId val="66487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69498172"/>
        <c:crosses val="autoZero"/>
        <c:auto val="1"/>
        <c:lblAlgn val="ctr"/>
        <c:lblOffset val="100"/>
        <c:noMultiLvlLbl val="0"/>
      </c:catAx>
      <c:valAx>
        <c:axId val="694981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664876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5</xdr:col>
      <xdr:colOff>166320</xdr:colOff>
      <xdr:row>49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3</xdr:col>
      <xdr:colOff>810360</xdr:colOff>
      <xdr:row>63</xdr:row>
      <xdr:rowOff>8280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62</xdr:row>
      <xdr:rowOff>41400</xdr:rowOff>
    </xdr:from>
    <xdr:to>
      <xdr:col>5</xdr:col>
      <xdr:colOff>166320</xdr:colOff>
      <xdr:row>83</xdr:row>
      <xdr:rowOff>169920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B5C"/>
  </sheetPr>
  <dimension ref="B2:E50"/>
  <sheetViews>
    <sheetView tabSelected="1" zoomScaleNormal="100" workbookViewId="0">
      <selection activeCell="E19" sqref="E19"/>
    </sheetView>
  </sheetViews>
  <sheetFormatPr baseColWidth="10" defaultColWidth="8.6640625" defaultRowHeight="15" customHeight="1" x14ac:dyDescent="0.45"/>
  <cols>
    <col min="1" max="1" width="3" customWidth="1"/>
    <col min="2" max="2" width="42" customWidth="1"/>
    <col min="3" max="3" width="28" customWidth="1"/>
    <col min="4" max="4" width="18" customWidth="1"/>
    <col min="5" max="5" width="35" customWidth="1"/>
    <col min="6" max="6" width="3" customWidth="1"/>
  </cols>
  <sheetData>
    <row r="2" spans="2:5" ht="45" customHeight="1" x14ac:dyDescent="0.45">
      <c r="B2" s="14" t="s">
        <v>0</v>
      </c>
      <c r="C2" s="14"/>
      <c r="D2" s="14"/>
      <c r="E2" s="14"/>
    </row>
    <row r="3" spans="2:5" ht="24.75" customHeight="1" x14ac:dyDescent="0.45">
      <c r="B3" s="13" t="s">
        <v>1</v>
      </c>
      <c r="C3" s="13"/>
      <c r="D3" s="13"/>
      <c r="E3" s="13"/>
    </row>
    <row r="5" spans="2:5" ht="27.75" customHeight="1" x14ac:dyDescent="0.45">
      <c r="B5" s="12" t="s">
        <v>2</v>
      </c>
      <c r="C5" s="12"/>
      <c r="D5" s="12"/>
      <c r="E5" s="12"/>
    </row>
    <row r="6" spans="2:5" ht="15" customHeight="1" x14ac:dyDescent="0.45">
      <c r="B6" s="15" t="s">
        <v>3</v>
      </c>
      <c r="C6" s="16"/>
      <c r="D6" s="11" t="s">
        <v>4</v>
      </c>
      <c r="E6" s="11"/>
    </row>
    <row r="7" spans="2:5" ht="15" customHeight="1" x14ac:dyDescent="0.45">
      <c r="B7" s="15" t="s">
        <v>5</v>
      </c>
      <c r="C7" s="16"/>
      <c r="D7" s="11" t="s">
        <v>6</v>
      </c>
      <c r="E7" s="11"/>
    </row>
    <row r="8" spans="2:5" ht="15" customHeight="1" x14ac:dyDescent="0.45">
      <c r="B8" s="15" t="s">
        <v>7</v>
      </c>
      <c r="C8" s="16"/>
      <c r="D8" s="11" t="s">
        <v>8</v>
      </c>
      <c r="E8" s="11"/>
    </row>
    <row r="9" spans="2:5" ht="15" customHeight="1" x14ac:dyDescent="0.45">
      <c r="B9" s="15" t="s">
        <v>9</v>
      </c>
      <c r="C9" s="16"/>
      <c r="D9" s="11" t="s">
        <v>10</v>
      </c>
      <c r="E9" s="11"/>
    </row>
    <row r="10" spans="2:5" ht="15" customHeight="1" x14ac:dyDescent="0.45">
      <c r="B10" s="15" t="s">
        <v>11</v>
      </c>
      <c r="C10" s="16"/>
      <c r="D10" s="11" t="s">
        <v>12</v>
      </c>
      <c r="E10" s="11"/>
    </row>
    <row r="11" spans="2:5" ht="15" customHeight="1" x14ac:dyDescent="0.45">
      <c r="B11" s="15" t="s">
        <v>13</v>
      </c>
      <c r="C11" s="16"/>
      <c r="D11" s="11" t="s">
        <v>14</v>
      </c>
      <c r="E11" s="11"/>
    </row>
    <row r="13" spans="2:5" ht="27.75" customHeight="1" x14ac:dyDescent="0.45">
      <c r="B13" s="12" t="s">
        <v>15</v>
      </c>
      <c r="C13" s="12"/>
      <c r="D13" s="12"/>
      <c r="E13" s="12"/>
    </row>
    <row r="14" spans="2:5" ht="14.25" x14ac:dyDescent="0.45">
      <c r="B14" s="17" t="s">
        <v>16</v>
      </c>
      <c r="C14" s="17" t="s">
        <v>17</v>
      </c>
      <c r="D14" s="17" t="s">
        <v>18</v>
      </c>
      <c r="E14" s="17" t="s">
        <v>19</v>
      </c>
    </row>
    <row r="15" spans="2:5" ht="14.25" x14ac:dyDescent="0.45">
      <c r="B15" s="18" t="s">
        <v>20</v>
      </c>
      <c r="C15" s="19" t="s">
        <v>21</v>
      </c>
      <c r="D15" s="20">
        <v>21000000</v>
      </c>
      <c r="E15" s="21" t="s">
        <v>22</v>
      </c>
    </row>
    <row r="16" spans="2:5" ht="14.25" x14ac:dyDescent="0.45">
      <c r="B16" s="18" t="s">
        <v>23</v>
      </c>
      <c r="C16" s="19" t="s">
        <v>24</v>
      </c>
      <c r="D16" s="20">
        <v>68000000</v>
      </c>
      <c r="E16" s="21" t="s">
        <v>25</v>
      </c>
    </row>
    <row r="17" spans="2:5" ht="23.25" x14ac:dyDescent="0.45">
      <c r="B17" s="18" t="s">
        <v>26</v>
      </c>
      <c r="C17" s="19" t="s">
        <v>27</v>
      </c>
      <c r="D17" s="20">
        <v>115000000</v>
      </c>
      <c r="E17" s="21" t="s">
        <v>28</v>
      </c>
    </row>
    <row r="19" spans="2:5" ht="14.25" x14ac:dyDescent="0.45">
      <c r="B19" s="15" t="s">
        <v>29</v>
      </c>
      <c r="C19" s="16" t="s">
        <v>23</v>
      </c>
    </row>
    <row r="20" spans="2:5" ht="19.7" customHeight="1" x14ac:dyDescent="0.45">
      <c r="B20" s="15" t="s">
        <v>30</v>
      </c>
      <c r="C20" s="22">
        <f>IF(C19="Vidrio",21000000,IF(C19="Ba 3 Pro",68000000,IF(C19="Ba 5",115000000,0)))</f>
        <v>68000000</v>
      </c>
      <c r="D20" s="11" t="s">
        <v>31</v>
      </c>
      <c r="E20" s="11"/>
    </row>
    <row r="21" spans="2:5" ht="15" customHeight="1" x14ac:dyDescent="0.45">
      <c r="B21" s="23" t="s">
        <v>32</v>
      </c>
      <c r="C21" s="24"/>
      <c r="D21" s="11" t="s">
        <v>33</v>
      </c>
      <c r="E21" s="11"/>
    </row>
    <row r="23" spans="2:5" ht="27.75" customHeight="1" x14ac:dyDescent="0.45">
      <c r="B23" s="12" t="s">
        <v>34</v>
      </c>
      <c r="C23" s="12"/>
      <c r="D23" s="12"/>
      <c r="E23" s="12"/>
    </row>
    <row r="24" spans="2:5" ht="28.35" customHeight="1" x14ac:dyDescent="0.45">
      <c r="B24" s="23" t="s">
        <v>35</v>
      </c>
      <c r="C24" s="25">
        <v>120</v>
      </c>
      <c r="D24" s="11" t="s">
        <v>36</v>
      </c>
      <c r="E24" s="11"/>
    </row>
    <row r="25" spans="2:5" ht="28.35" customHeight="1" x14ac:dyDescent="0.45">
      <c r="B25" s="23" t="s">
        <v>37</v>
      </c>
      <c r="C25" s="25">
        <v>25</v>
      </c>
      <c r="D25" s="11" t="s">
        <v>38</v>
      </c>
      <c r="E25" s="11"/>
    </row>
    <row r="26" spans="2:5" ht="28.35" customHeight="1" x14ac:dyDescent="0.45">
      <c r="B26" s="23" t="s">
        <v>39</v>
      </c>
      <c r="C26" s="24">
        <v>5000000</v>
      </c>
      <c r="D26" s="11" t="s">
        <v>40</v>
      </c>
      <c r="E26" s="11"/>
    </row>
    <row r="27" spans="2:5" ht="28.35" customHeight="1" x14ac:dyDescent="0.45">
      <c r="B27" s="23" t="s">
        <v>41</v>
      </c>
      <c r="C27" s="25">
        <v>8</v>
      </c>
      <c r="D27" s="11" t="s">
        <v>42</v>
      </c>
      <c r="E27" s="11"/>
    </row>
    <row r="28" spans="2:5" ht="28.35" customHeight="1" x14ac:dyDescent="0.45">
      <c r="B28" s="23" t="s">
        <v>43</v>
      </c>
      <c r="C28" s="26">
        <v>12</v>
      </c>
      <c r="D28" s="11" t="s">
        <v>44</v>
      </c>
      <c r="E28" s="11"/>
    </row>
    <row r="29" spans="2:5" ht="28.35" customHeight="1" x14ac:dyDescent="0.45">
      <c r="B29" s="23" t="s">
        <v>45</v>
      </c>
      <c r="C29" s="24">
        <v>15000000</v>
      </c>
      <c r="D29" s="11" t="s">
        <v>46</v>
      </c>
      <c r="E29" s="11"/>
    </row>
    <row r="30" spans="2:5" ht="28.35" customHeight="1" x14ac:dyDescent="0.45">
      <c r="B30" s="23" t="s">
        <v>47</v>
      </c>
      <c r="C30" s="25">
        <v>6</v>
      </c>
      <c r="D30" s="11" t="s">
        <v>48</v>
      </c>
      <c r="E30" s="11"/>
    </row>
    <row r="31" spans="2:5" ht="28.35" customHeight="1" x14ac:dyDescent="0.45">
      <c r="B31" s="23" t="s">
        <v>49</v>
      </c>
      <c r="C31" s="25">
        <v>160</v>
      </c>
      <c r="D31" s="11" t="s">
        <v>50</v>
      </c>
      <c r="E31" s="11"/>
    </row>
    <row r="32" spans="2:5" ht="28.35" customHeight="1" x14ac:dyDescent="0.45">
      <c r="B32" s="23" t="s">
        <v>51</v>
      </c>
      <c r="C32" s="24">
        <v>35000</v>
      </c>
      <c r="D32" s="11" t="s">
        <v>52</v>
      </c>
      <c r="E32" s="11"/>
    </row>
    <row r="33" spans="2:5" ht="28.35" customHeight="1" x14ac:dyDescent="0.45">
      <c r="B33" s="23" t="s">
        <v>53</v>
      </c>
      <c r="C33" s="25">
        <v>15</v>
      </c>
      <c r="D33" s="11" t="s">
        <v>54</v>
      </c>
      <c r="E33" s="11"/>
    </row>
    <row r="34" spans="2:5" ht="28.35" customHeight="1" x14ac:dyDescent="0.45">
      <c r="B34" s="23" t="s">
        <v>55</v>
      </c>
      <c r="C34" s="24">
        <v>80000000</v>
      </c>
      <c r="D34" s="11" t="s">
        <v>56</v>
      </c>
      <c r="E34" s="11"/>
    </row>
    <row r="35" spans="2:5" ht="28.35" customHeight="1" x14ac:dyDescent="0.45">
      <c r="B35" s="23" t="s">
        <v>57</v>
      </c>
      <c r="C35" s="25">
        <v>200</v>
      </c>
      <c r="D35" s="11" t="s">
        <v>58</v>
      </c>
      <c r="E35" s="11"/>
    </row>
    <row r="36" spans="2:5" ht="28.35" customHeight="1" x14ac:dyDescent="0.45">
      <c r="B36" s="23" t="s">
        <v>59</v>
      </c>
      <c r="C36" s="24">
        <v>2000000</v>
      </c>
      <c r="D36" s="11" t="s">
        <v>60</v>
      </c>
      <c r="E36" s="11"/>
    </row>
    <row r="37" spans="2:5" ht="15" customHeight="1" x14ac:dyDescent="0.45">
      <c r="B37" s="23" t="s">
        <v>61</v>
      </c>
      <c r="C37" s="24">
        <v>500000000</v>
      </c>
      <c r="D37" s="11" t="s">
        <v>62</v>
      </c>
      <c r="E37" s="11"/>
    </row>
    <row r="39" spans="2:5" ht="27.75" customHeight="1" x14ac:dyDescent="0.45">
      <c r="B39" s="12" t="s">
        <v>63</v>
      </c>
      <c r="C39" s="12"/>
      <c r="D39" s="12"/>
      <c r="E39" s="12"/>
    </row>
    <row r="40" spans="2:5" ht="28.35" customHeight="1" x14ac:dyDescent="0.45">
      <c r="B40" s="23" t="s">
        <v>64</v>
      </c>
      <c r="C40" s="27">
        <v>0.5</v>
      </c>
      <c r="D40" s="11" t="s">
        <v>65</v>
      </c>
      <c r="E40" s="11"/>
    </row>
    <row r="41" spans="2:5" ht="28.35" customHeight="1" x14ac:dyDescent="0.45">
      <c r="B41" s="23" t="s">
        <v>66</v>
      </c>
      <c r="C41" s="27">
        <v>0.4</v>
      </c>
      <c r="D41" s="11" t="s">
        <v>67</v>
      </c>
      <c r="E41" s="11"/>
    </row>
    <row r="42" spans="2:5" ht="28.35" customHeight="1" x14ac:dyDescent="0.45">
      <c r="B42" s="23" t="s">
        <v>68</v>
      </c>
      <c r="C42" s="27">
        <v>0.35</v>
      </c>
      <c r="D42" s="11" t="s">
        <v>69</v>
      </c>
      <c r="E42" s="11"/>
    </row>
    <row r="43" spans="2:5" ht="28.35" customHeight="1" x14ac:dyDescent="0.45">
      <c r="B43" s="23" t="s">
        <v>70</v>
      </c>
      <c r="C43" s="27">
        <v>0.25</v>
      </c>
      <c r="D43" s="11" t="s">
        <v>71</v>
      </c>
      <c r="E43" s="11"/>
    </row>
    <row r="44" spans="2:5" ht="28.35" customHeight="1" x14ac:dyDescent="0.45">
      <c r="B44" s="23" t="s">
        <v>72</v>
      </c>
      <c r="C44" s="27">
        <v>0.2</v>
      </c>
      <c r="D44" s="11" t="s">
        <v>73</v>
      </c>
      <c r="E44" s="11"/>
    </row>
    <row r="45" spans="2:5" ht="15" customHeight="1" x14ac:dyDescent="0.45">
      <c r="B45" s="23" t="s">
        <v>74</v>
      </c>
      <c r="C45" s="27">
        <v>0.25</v>
      </c>
      <c r="D45" s="11" t="s">
        <v>75</v>
      </c>
      <c r="E45" s="11"/>
    </row>
    <row r="46" spans="2:5" ht="28.35" customHeight="1" x14ac:dyDescent="0.45">
      <c r="B46" s="23" t="s">
        <v>76</v>
      </c>
      <c r="C46" s="27">
        <v>0.05</v>
      </c>
      <c r="D46" s="11" t="s">
        <v>77</v>
      </c>
      <c r="E46" s="11"/>
    </row>
    <row r="47" spans="2:5" ht="28.35" customHeight="1" x14ac:dyDescent="0.45">
      <c r="B47" s="23" t="s">
        <v>78</v>
      </c>
      <c r="C47" s="27">
        <v>0.1</v>
      </c>
      <c r="D47" s="11" t="s">
        <v>79</v>
      </c>
      <c r="E47" s="11"/>
    </row>
    <row r="49" spans="2:5" ht="14.25" x14ac:dyDescent="0.45">
      <c r="B49" s="10" t="s">
        <v>80</v>
      </c>
      <c r="C49" s="10"/>
      <c r="D49" s="10"/>
      <c r="E49" s="10"/>
    </row>
    <row r="50" spans="2:5" ht="14.25" x14ac:dyDescent="0.45">
      <c r="B50" s="9" t="s">
        <v>81</v>
      </c>
      <c r="C50" s="9"/>
      <c r="D50" s="9"/>
      <c r="E50" s="9"/>
    </row>
  </sheetData>
  <mergeCells count="38">
    <mergeCell ref="D47:E47"/>
    <mergeCell ref="B49:E49"/>
    <mergeCell ref="B50:E50"/>
    <mergeCell ref="D42:E42"/>
    <mergeCell ref="D43:E43"/>
    <mergeCell ref="D44:E44"/>
    <mergeCell ref="D45:E45"/>
    <mergeCell ref="D46:E46"/>
    <mergeCell ref="D36:E36"/>
    <mergeCell ref="D37:E37"/>
    <mergeCell ref="B39:E39"/>
    <mergeCell ref="D40:E40"/>
    <mergeCell ref="D41:E41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0:E20"/>
    <mergeCell ref="D21:E21"/>
    <mergeCell ref="B23:E23"/>
    <mergeCell ref="D24:E24"/>
    <mergeCell ref="D25:E25"/>
    <mergeCell ref="D8:E8"/>
    <mergeCell ref="D9:E9"/>
    <mergeCell ref="D10:E10"/>
    <mergeCell ref="D11:E11"/>
    <mergeCell ref="B13:E13"/>
    <mergeCell ref="B2:E2"/>
    <mergeCell ref="B3:E3"/>
    <mergeCell ref="B5:E5"/>
    <mergeCell ref="D6:E6"/>
    <mergeCell ref="D7:E7"/>
  </mergeCells>
  <dataValidations count="1">
    <dataValidation type="list" errorTitle="Modelo inválido" error="Seleccione un modelo válido" promptTitle="Modelo" prompt="Seleccione el modelo del colector" sqref="C19" xr:uid="{00000000-0002-0000-0000-000000000000}">
      <formula1>"Vidrio,Ba 3 Pro,Ba 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579B"/>
  </sheetPr>
  <dimension ref="B2:G65"/>
  <sheetViews>
    <sheetView zoomScaleNormal="100" workbookViewId="0"/>
  </sheetViews>
  <sheetFormatPr baseColWidth="10" defaultColWidth="8.6640625" defaultRowHeight="15" customHeight="1" x14ac:dyDescent="0.45"/>
  <cols>
    <col min="1" max="1" width="3" customWidth="1"/>
    <col min="2" max="2" width="50" customWidth="1"/>
    <col min="3" max="7" width="22" customWidth="1"/>
  </cols>
  <sheetData>
    <row r="2" spans="2:7" ht="39.75" customHeight="1" x14ac:dyDescent="0.45">
      <c r="B2" s="14" t="s">
        <v>82</v>
      </c>
      <c r="C2" s="14"/>
      <c r="D2" s="14"/>
      <c r="E2" s="14"/>
      <c r="F2" s="14"/>
      <c r="G2" s="14"/>
    </row>
    <row r="4" spans="2:7" ht="24.75" customHeight="1" x14ac:dyDescent="0.45">
      <c r="B4" s="12" t="s">
        <v>83</v>
      </c>
      <c r="C4" s="12"/>
      <c r="D4" s="12"/>
    </row>
    <row r="5" spans="2:7" ht="21" x14ac:dyDescent="0.45">
      <c r="B5" s="15" t="s">
        <v>30</v>
      </c>
      <c r="C5" s="28">
        <f>IF('Entrada de Datos'!C21&gt;0,'Entrada de Datos'!C21,'Entrada de Datos'!C20)</f>
        <v>68000000</v>
      </c>
    </row>
    <row r="7" spans="2:7" ht="24.75" customHeight="1" x14ac:dyDescent="0.45">
      <c r="B7" s="12" t="s">
        <v>84</v>
      </c>
      <c r="C7" s="12"/>
      <c r="D7" s="12"/>
      <c r="E7" s="12"/>
      <c r="F7" s="12"/>
      <c r="G7" s="12"/>
    </row>
    <row r="8" spans="2:7" ht="14.25" x14ac:dyDescent="0.45">
      <c r="B8" s="17" t="s">
        <v>85</v>
      </c>
      <c r="C8" s="17" t="s">
        <v>86</v>
      </c>
      <c r="D8" s="17" t="s">
        <v>87</v>
      </c>
      <c r="E8" s="17" t="s">
        <v>88</v>
      </c>
      <c r="F8" s="17" t="s">
        <v>89</v>
      </c>
    </row>
    <row r="9" spans="2:7" ht="14.25" x14ac:dyDescent="0.45">
      <c r="B9" s="23" t="s">
        <v>90</v>
      </c>
      <c r="C9" s="29">
        <f>'Entrada de Datos'!C27*'Entrada de Datos'!C28</f>
        <v>96</v>
      </c>
      <c r="D9" s="30" t="s">
        <v>91</v>
      </c>
      <c r="E9" s="29">
        <f>C9*(1-'Entrada de Datos'!C40)</f>
        <v>48</v>
      </c>
      <c r="F9" s="31">
        <f>C9-E9</f>
        <v>48</v>
      </c>
    </row>
    <row r="10" spans="2:7" ht="14.25" x14ac:dyDescent="0.45">
      <c r="B10" s="23" t="s">
        <v>92</v>
      </c>
      <c r="C10" s="32">
        <f>C9*'Entrada de Datos'!C26</f>
        <v>480000000</v>
      </c>
      <c r="D10" s="30" t="s">
        <v>93</v>
      </c>
      <c r="E10" s="32">
        <f>E9*'Entrada de Datos'!C26</f>
        <v>240000000</v>
      </c>
      <c r="F10" s="33">
        <f>C10-E10</f>
        <v>240000000</v>
      </c>
    </row>
    <row r="12" spans="2:7" ht="24.75" customHeight="1" x14ac:dyDescent="0.45">
      <c r="B12" s="12" t="s">
        <v>94</v>
      </c>
      <c r="C12" s="12"/>
      <c r="D12" s="12"/>
      <c r="E12" s="12"/>
      <c r="F12" s="12"/>
      <c r="G12" s="12"/>
    </row>
    <row r="13" spans="2:7" ht="14.25" x14ac:dyDescent="0.45">
      <c r="B13" s="17" t="s">
        <v>85</v>
      </c>
      <c r="C13" s="17" t="s">
        <v>86</v>
      </c>
      <c r="D13" s="17" t="s">
        <v>87</v>
      </c>
      <c r="E13" s="17" t="s">
        <v>88</v>
      </c>
      <c r="F13" s="17" t="s">
        <v>89</v>
      </c>
    </row>
    <row r="14" spans="2:7" ht="14.25" x14ac:dyDescent="0.45">
      <c r="B14" s="23" t="s">
        <v>95</v>
      </c>
      <c r="C14" s="32">
        <f>'Entrada de Datos'!C29*'Entrada de Datos'!C30</f>
        <v>90000000</v>
      </c>
      <c r="D14" s="30" t="s">
        <v>96</v>
      </c>
      <c r="E14" s="32">
        <f>C14*(1-'Entrada de Datos'!C41)</f>
        <v>54000000</v>
      </c>
      <c r="F14" s="33">
        <f>C14-E14</f>
        <v>36000000</v>
      </c>
    </row>
    <row r="16" spans="2:7" ht="24.75" customHeight="1" x14ac:dyDescent="0.45">
      <c r="B16" s="12" t="s">
        <v>97</v>
      </c>
      <c r="C16" s="12"/>
      <c r="D16" s="12"/>
      <c r="E16" s="12"/>
      <c r="F16" s="12"/>
      <c r="G16" s="12"/>
    </row>
    <row r="17" spans="2:7" ht="14.25" x14ac:dyDescent="0.45">
      <c r="B17" s="17" t="s">
        <v>85</v>
      </c>
      <c r="C17" s="17" t="s">
        <v>86</v>
      </c>
      <c r="D17" s="17" t="s">
        <v>87</v>
      </c>
      <c r="E17" s="17" t="s">
        <v>88</v>
      </c>
      <c r="F17" s="17" t="s">
        <v>89</v>
      </c>
    </row>
    <row r="18" spans="2:7" ht="14.25" x14ac:dyDescent="0.45">
      <c r="B18" s="23" t="s">
        <v>98</v>
      </c>
      <c r="C18" s="32">
        <f>'Entrada de Datos'!C31*12*'Entrada de Datos'!C32</f>
        <v>67200000</v>
      </c>
      <c r="D18" s="30" t="s">
        <v>99</v>
      </c>
      <c r="E18" s="32">
        <f>C18*(1-'Entrada de Datos'!C42)</f>
        <v>43680000</v>
      </c>
      <c r="F18" s="33">
        <f>C18-E18</f>
        <v>23520000</v>
      </c>
    </row>
    <row r="20" spans="2:7" ht="24.75" customHeight="1" x14ac:dyDescent="0.45">
      <c r="B20" s="12" t="s">
        <v>100</v>
      </c>
      <c r="C20" s="12"/>
      <c r="D20" s="12"/>
      <c r="E20" s="12"/>
      <c r="F20" s="12"/>
      <c r="G20" s="12"/>
    </row>
    <row r="21" spans="2:7" ht="14.25" x14ac:dyDescent="0.45">
      <c r="B21" s="17" t="s">
        <v>85</v>
      </c>
      <c r="C21" s="17" t="s">
        <v>86</v>
      </c>
      <c r="D21" s="17" t="s">
        <v>87</v>
      </c>
      <c r="E21" s="17" t="s">
        <v>88</v>
      </c>
      <c r="F21" s="17" t="s">
        <v>89</v>
      </c>
    </row>
    <row r="22" spans="2:7" ht="23.25" x14ac:dyDescent="0.45">
      <c r="B22" s="23" t="s">
        <v>101</v>
      </c>
      <c r="C22" s="32">
        <f>'Entrada de Datos'!C33*8*'Entrada de Datos'!C26*('Entrada de Datos'!C27*0.3)+'Entrada de Datos'!C34</f>
        <v>1520000000</v>
      </c>
      <c r="D22" s="34" t="s">
        <v>102</v>
      </c>
      <c r="E22" s="32">
        <f>C22*(1-'Entrada de Datos'!C43)</f>
        <v>1140000000</v>
      </c>
      <c r="F22" s="33">
        <f>C22-E22</f>
        <v>380000000</v>
      </c>
    </row>
    <row r="24" spans="2:7" ht="24.75" customHeight="1" x14ac:dyDescent="0.45">
      <c r="B24" s="12" t="s">
        <v>103</v>
      </c>
      <c r="C24" s="12"/>
      <c r="D24" s="12"/>
      <c r="E24" s="12"/>
      <c r="F24" s="12"/>
      <c r="G24" s="12"/>
    </row>
    <row r="25" spans="2:7" ht="14.25" x14ac:dyDescent="0.45">
      <c r="B25" s="17" t="s">
        <v>85</v>
      </c>
      <c r="C25" s="17" t="s">
        <v>86</v>
      </c>
      <c r="D25" s="17" t="s">
        <v>87</v>
      </c>
      <c r="E25" s="17" t="s">
        <v>88</v>
      </c>
      <c r="F25" s="17" t="s">
        <v>89</v>
      </c>
    </row>
    <row r="26" spans="2:7" ht="14.25" x14ac:dyDescent="0.45">
      <c r="B26" s="23" t="s">
        <v>104</v>
      </c>
      <c r="C26" s="32">
        <f>'Entrada de Datos'!C35*'Entrada de Datos'!C36</f>
        <v>400000000</v>
      </c>
      <c r="D26" s="30" t="s">
        <v>105</v>
      </c>
      <c r="E26" s="32">
        <f>C26*(1-'Entrada de Datos'!C44)</f>
        <v>320000000</v>
      </c>
      <c r="F26" s="33">
        <f>C26-E26</f>
        <v>80000000</v>
      </c>
    </row>
    <row r="28" spans="2:7" ht="24.75" customHeight="1" x14ac:dyDescent="0.45">
      <c r="B28" s="12" t="s">
        <v>106</v>
      </c>
      <c r="C28" s="12"/>
      <c r="D28" s="12"/>
      <c r="E28" s="12"/>
      <c r="F28" s="12"/>
      <c r="G28" s="12"/>
    </row>
    <row r="29" spans="2:7" ht="14.25" x14ac:dyDescent="0.45">
      <c r="B29" s="17" t="s">
        <v>85</v>
      </c>
      <c r="C29" s="17" t="s">
        <v>86</v>
      </c>
      <c r="D29" s="17" t="s">
        <v>87</v>
      </c>
      <c r="E29" s="17" t="s">
        <v>88</v>
      </c>
      <c r="F29" s="17" t="s">
        <v>89</v>
      </c>
    </row>
    <row r="30" spans="2:7" ht="23.25" x14ac:dyDescent="0.45">
      <c r="B30" s="23" t="s">
        <v>107</v>
      </c>
      <c r="C30" s="32">
        <f>'Entrada de Datos'!C25*50000000/15</f>
        <v>83333333.333333328</v>
      </c>
      <c r="D30" s="34" t="s">
        <v>108</v>
      </c>
      <c r="E30" s="35">
        <f>C30</f>
        <v>83333333.333333328</v>
      </c>
      <c r="F30" s="33">
        <f>C30*'Entrada de Datos'!C45</f>
        <v>20833333.333333332</v>
      </c>
    </row>
    <row r="32" spans="2:7" ht="24.75" customHeight="1" x14ac:dyDescent="0.45">
      <c r="B32" s="12" t="s">
        <v>109</v>
      </c>
      <c r="C32" s="12"/>
      <c r="D32" s="12"/>
      <c r="E32" s="12"/>
      <c r="F32" s="12"/>
      <c r="G32" s="12"/>
    </row>
    <row r="33" spans="2:7" ht="14.25" x14ac:dyDescent="0.45">
      <c r="B33" s="17" t="s">
        <v>85</v>
      </c>
      <c r="C33" s="17" t="s">
        <v>86</v>
      </c>
      <c r="D33" s="17" t="s">
        <v>87</v>
      </c>
      <c r="E33" s="17" t="s">
        <v>88</v>
      </c>
      <c r="F33" s="17" t="s">
        <v>89</v>
      </c>
    </row>
    <row r="34" spans="2:7" ht="23.25" x14ac:dyDescent="0.45">
      <c r="B34" s="23" t="s">
        <v>110</v>
      </c>
      <c r="C34" s="32">
        <f>'Entrada de Datos'!C24*50*0.746*6000*500</f>
        <v>13428000000</v>
      </c>
      <c r="D34" s="34" t="s">
        <v>111</v>
      </c>
      <c r="E34" s="32">
        <f>C34</f>
        <v>13428000000</v>
      </c>
      <c r="F34" s="33">
        <f>C34*'Entrada de Datos'!C46</f>
        <v>671400000</v>
      </c>
    </row>
    <row r="36" spans="2:7" ht="24.75" customHeight="1" x14ac:dyDescent="0.45">
      <c r="B36" s="12" t="s">
        <v>112</v>
      </c>
      <c r="C36" s="12"/>
      <c r="D36" s="12"/>
      <c r="E36" s="12"/>
      <c r="F36" s="12"/>
      <c r="G36" s="12"/>
    </row>
    <row r="37" spans="2:7" ht="14.25" x14ac:dyDescent="0.45">
      <c r="B37" s="17" t="s">
        <v>85</v>
      </c>
      <c r="C37" s="17" t="s">
        <v>86</v>
      </c>
      <c r="D37" s="17" t="s">
        <v>87</v>
      </c>
      <c r="E37" s="17" t="s">
        <v>88</v>
      </c>
      <c r="F37" s="17" t="s">
        <v>89</v>
      </c>
    </row>
    <row r="38" spans="2:7" ht="23.25" x14ac:dyDescent="0.45">
      <c r="B38" s="23" t="s">
        <v>113</v>
      </c>
      <c r="C38" s="32">
        <f>'Entrada de Datos'!C37*12*0.02</f>
        <v>120000000</v>
      </c>
      <c r="D38" s="34" t="s">
        <v>114</v>
      </c>
      <c r="E38" s="32">
        <f>C38</f>
        <v>120000000</v>
      </c>
      <c r="F38" s="33">
        <f>C38*'Entrada de Datos'!C47</f>
        <v>12000000</v>
      </c>
    </row>
    <row r="40" spans="2:7" ht="34.5" customHeight="1" x14ac:dyDescent="0.45">
      <c r="B40" s="14" t="s">
        <v>115</v>
      </c>
      <c r="C40" s="14"/>
      <c r="D40" s="14"/>
      <c r="E40" s="14"/>
      <c r="F40" s="14"/>
      <c r="G40" s="14"/>
    </row>
    <row r="42" spans="2:7" ht="14.25" x14ac:dyDescent="0.45">
      <c r="B42" s="17" t="s">
        <v>116</v>
      </c>
      <c r="C42" s="17" t="s">
        <v>117</v>
      </c>
      <c r="D42" s="17" t="s">
        <v>118</v>
      </c>
    </row>
    <row r="43" spans="2:7" ht="14.25" x14ac:dyDescent="0.45">
      <c r="B43" s="23" t="s">
        <v>119</v>
      </c>
      <c r="C43" s="36">
        <f>F10</f>
        <v>240000000</v>
      </c>
      <c r="D43" s="37">
        <f>IF(C51&gt;0,C43/C51,0)</f>
        <v>0.16396205189398941</v>
      </c>
    </row>
    <row r="44" spans="2:7" ht="14.25" x14ac:dyDescent="0.45">
      <c r="B44" s="23" t="s">
        <v>120</v>
      </c>
      <c r="C44" s="36">
        <f>F14</f>
        <v>36000000</v>
      </c>
      <c r="D44" s="37">
        <f>IF(C51&gt;0,C44/C51,0)</f>
        <v>2.459430778409841E-2</v>
      </c>
    </row>
    <row r="45" spans="2:7" ht="14.25" x14ac:dyDescent="0.45">
      <c r="B45" s="23" t="s">
        <v>121</v>
      </c>
      <c r="C45" s="36">
        <f>F18</f>
        <v>23520000</v>
      </c>
      <c r="D45" s="37">
        <f>IF(C51&gt;0,C45/C51,0)</f>
        <v>1.6068281085610963E-2</v>
      </c>
    </row>
    <row r="46" spans="2:7" ht="14.25" x14ac:dyDescent="0.45">
      <c r="B46" s="23" t="s">
        <v>122</v>
      </c>
      <c r="C46" s="36">
        <f>F22</f>
        <v>380000000</v>
      </c>
      <c r="D46" s="37">
        <f>IF(C51&gt;0,C46/C51,0)</f>
        <v>0.25960658216548321</v>
      </c>
    </row>
    <row r="47" spans="2:7" ht="14.25" x14ac:dyDescent="0.45">
      <c r="B47" s="23" t="s">
        <v>123</v>
      </c>
      <c r="C47" s="36">
        <f>F26</f>
        <v>80000000</v>
      </c>
      <c r="D47" s="37">
        <f>IF(C51&gt;0,C47/C51,0)</f>
        <v>5.4654017297996467E-2</v>
      </c>
    </row>
    <row r="48" spans="2:7" ht="14.25" x14ac:dyDescent="0.45">
      <c r="B48" s="23" t="s">
        <v>124</v>
      </c>
      <c r="C48" s="36">
        <f>F30</f>
        <v>20833333.333333332</v>
      </c>
      <c r="D48" s="37">
        <f>IF(C51&gt;0,C48/C51,0)</f>
        <v>1.4232817004686579E-2</v>
      </c>
    </row>
    <row r="49" spans="2:7" ht="14.25" x14ac:dyDescent="0.45">
      <c r="B49" s="23" t="s">
        <v>125</v>
      </c>
      <c r="C49" s="36">
        <f>F34</f>
        <v>671400000</v>
      </c>
      <c r="D49" s="37">
        <f>IF(C51&gt;0,C49/C51,0)</f>
        <v>0.45868384017343539</v>
      </c>
    </row>
    <row r="50" spans="2:7" ht="14.25" x14ac:dyDescent="0.45">
      <c r="B50" s="23" t="s">
        <v>126</v>
      </c>
      <c r="C50" s="36">
        <f>F38</f>
        <v>12000000</v>
      </c>
      <c r="D50" s="37">
        <f>IF(C51&gt;0,C50/C51,0)</f>
        <v>8.1981025946994707E-3</v>
      </c>
    </row>
    <row r="51" spans="2:7" ht="18" x14ac:dyDescent="0.45">
      <c r="B51" s="38" t="s">
        <v>127</v>
      </c>
      <c r="C51" s="39">
        <f>SUM(C43:C50)</f>
        <v>1463753333.3333335</v>
      </c>
      <c r="D51" s="40" t="s">
        <v>128</v>
      </c>
    </row>
    <row r="53" spans="2:7" ht="21" x14ac:dyDescent="0.45">
      <c r="B53" s="15" t="s">
        <v>129</v>
      </c>
      <c r="C53" s="28">
        <f>C5</f>
        <v>68000000</v>
      </c>
    </row>
    <row r="54" spans="2:7" ht="18" x14ac:dyDescent="0.45">
      <c r="B54" s="15" t="s">
        <v>130</v>
      </c>
      <c r="C54" s="41">
        <f>C51</f>
        <v>1463753333.3333335</v>
      </c>
    </row>
    <row r="55" spans="2:7" ht="21" x14ac:dyDescent="0.45">
      <c r="B55" s="15" t="s">
        <v>131</v>
      </c>
      <c r="C55" s="42">
        <f>IF(C53&gt;0,(C54-C53)/C53,0)</f>
        <v>20.525784313725492</v>
      </c>
    </row>
    <row r="56" spans="2:7" ht="21" x14ac:dyDescent="0.45">
      <c r="B56" s="15" t="s">
        <v>132</v>
      </c>
      <c r="C56" s="43">
        <f>IF(C54&gt;0,ROUND(C53/(C54/12),1),"N/A")</f>
        <v>0.6</v>
      </c>
    </row>
    <row r="57" spans="2:7" ht="21" x14ac:dyDescent="0.45">
      <c r="B57" s="15" t="s">
        <v>133</v>
      </c>
      <c r="C57" s="44">
        <f>IF(C53&gt;0,C54/C53,0)</f>
        <v>21.525784313725492</v>
      </c>
    </row>
    <row r="59" spans="2:7" ht="24.75" customHeight="1" x14ac:dyDescent="0.45">
      <c r="B59" s="12" t="s">
        <v>134</v>
      </c>
      <c r="C59" s="12"/>
      <c r="D59" s="12"/>
      <c r="E59" s="12"/>
      <c r="F59" s="12"/>
      <c r="G59" s="12"/>
    </row>
    <row r="60" spans="2:7" ht="14.25" x14ac:dyDescent="0.45">
      <c r="B60" s="17" t="s">
        <v>85</v>
      </c>
      <c r="C60" s="17" t="s">
        <v>135</v>
      </c>
      <c r="D60" s="17" t="s">
        <v>136</v>
      </c>
      <c r="E60" s="17" t="s">
        <v>137</v>
      </c>
      <c r="F60" s="17" t="s">
        <v>138</v>
      </c>
      <c r="G60" s="17" t="s">
        <v>139</v>
      </c>
    </row>
    <row r="61" spans="2:7" ht="14.25" x14ac:dyDescent="0.45">
      <c r="B61" s="23" t="s">
        <v>140</v>
      </c>
      <c r="C61" s="36">
        <f>C51</f>
        <v>1463753333.3333335</v>
      </c>
      <c r="D61" s="36">
        <f>C51</f>
        <v>1463753333.3333335</v>
      </c>
      <c r="E61" s="36">
        <f>C51</f>
        <v>1463753333.3333335</v>
      </c>
      <c r="F61" s="36">
        <f>C51</f>
        <v>1463753333.3333335</v>
      </c>
      <c r="G61" s="36">
        <f>C51</f>
        <v>1463753333.3333335</v>
      </c>
    </row>
    <row r="62" spans="2:7" ht="14.25" x14ac:dyDescent="0.45">
      <c r="B62" s="23" t="s">
        <v>141</v>
      </c>
      <c r="C62" s="36">
        <f>C61</f>
        <v>1463753333.3333335</v>
      </c>
      <c r="D62" s="36">
        <f>C62+D61</f>
        <v>2927506666.666667</v>
      </c>
      <c r="E62" s="36">
        <f>D62+E61</f>
        <v>4391260000</v>
      </c>
      <c r="F62" s="36">
        <f>E62+F61</f>
        <v>5855013333.333334</v>
      </c>
      <c r="G62" s="36">
        <f>F62+G61</f>
        <v>7318766666.6666679</v>
      </c>
    </row>
    <row r="63" spans="2:7" ht="18" x14ac:dyDescent="0.45">
      <c r="B63" s="23" t="s">
        <v>142</v>
      </c>
      <c r="C63" s="45">
        <f>C5</f>
        <v>68000000</v>
      </c>
      <c r="D63" s="36">
        <v>0</v>
      </c>
      <c r="E63" s="36">
        <v>0</v>
      </c>
      <c r="F63" s="36">
        <v>0</v>
      </c>
      <c r="G63" s="36">
        <v>0</v>
      </c>
    </row>
    <row r="64" spans="2:7" ht="14.25" x14ac:dyDescent="0.45">
      <c r="B64" s="23" t="s">
        <v>143</v>
      </c>
      <c r="C64" s="46">
        <f>C62-C63</f>
        <v>1395753333.3333335</v>
      </c>
      <c r="D64" s="46">
        <f>D62-C63</f>
        <v>2859506666.666667</v>
      </c>
      <c r="E64" s="46">
        <f>E62-C63</f>
        <v>4323260000</v>
      </c>
      <c r="F64" s="46">
        <f>F62-C63</f>
        <v>5787013333.333334</v>
      </c>
      <c r="G64" s="46">
        <f>G62-C63</f>
        <v>7250766666.6666679</v>
      </c>
    </row>
    <row r="65" spans="2:7" ht="14.25" x14ac:dyDescent="0.45">
      <c r="B65" s="23" t="s">
        <v>144</v>
      </c>
      <c r="C65" s="47">
        <f>IF(C63&gt;0,C64/C63,0)</f>
        <v>20.525784313725492</v>
      </c>
      <c r="D65" s="47">
        <f>IF(C63&gt;0,D64/C63,0)</f>
        <v>42.051568627450983</v>
      </c>
      <c r="E65" s="47">
        <f>IF(C63&gt;0,E64/C63,0)</f>
        <v>63.577352941176471</v>
      </c>
      <c r="F65" s="47">
        <f>IF(C63&gt;0,F64/C63,0)</f>
        <v>85.103137254901966</v>
      </c>
      <c r="G65" s="47">
        <f>IF(C63&gt;0,G64/C63,0)</f>
        <v>106.62892156862748</v>
      </c>
    </row>
  </sheetData>
  <mergeCells count="12">
    <mergeCell ref="B40:G40"/>
    <mergeCell ref="B59:G59"/>
    <mergeCell ref="B20:G20"/>
    <mergeCell ref="B24:G24"/>
    <mergeCell ref="B28:G28"/>
    <mergeCell ref="B32:G32"/>
    <mergeCell ref="B36:G36"/>
    <mergeCell ref="B2:G2"/>
    <mergeCell ref="B4:D4"/>
    <mergeCell ref="B7:G7"/>
    <mergeCell ref="B12:G12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  <pageSetUpPr fitToPage="1"/>
  </sheetPr>
  <dimension ref="B2:G83"/>
  <sheetViews>
    <sheetView zoomScaleNormal="100" workbookViewId="0"/>
  </sheetViews>
  <sheetFormatPr baseColWidth="10" defaultColWidth="8.6640625" defaultRowHeight="15" customHeight="1" x14ac:dyDescent="0.45"/>
  <cols>
    <col min="1" max="1" width="3" customWidth="1"/>
    <col min="2" max="2" width="35" customWidth="1"/>
    <col min="3" max="6" width="25" customWidth="1"/>
    <col min="7" max="7" width="3" customWidth="1"/>
  </cols>
  <sheetData>
    <row r="2" spans="2:7" ht="49.5" customHeight="1" x14ac:dyDescent="0.45">
      <c r="B2" s="14" t="s">
        <v>145</v>
      </c>
      <c r="C2" s="14"/>
      <c r="D2" s="14"/>
      <c r="E2" s="14"/>
      <c r="F2" s="14"/>
    </row>
    <row r="3" spans="2:7" ht="30" customHeight="1" x14ac:dyDescent="0.45">
      <c r="B3" s="8" t="s">
        <v>146</v>
      </c>
      <c r="C3" s="8"/>
      <c r="D3" s="8"/>
      <c r="E3" s="8"/>
      <c r="F3" s="8"/>
    </row>
    <row r="4" spans="2:7" ht="21.75" customHeight="1" x14ac:dyDescent="0.45">
      <c r="B4" s="13" t="s">
        <v>147</v>
      </c>
      <c r="C4" s="13"/>
      <c r="D4" s="13"/>
      <c r="E4" s="13"/>
      <c r="F4" s="13"/>
    </row>
    <row r="6" spans="2:7" ht="15" customHeight="1" x14ac:dyDescent="0.45">
      <c r="B6" s="7" t="s">
        <v>2</v>
      </c>
      <c r="C6" s="7"/>
      <c r="D6" s="7"/>
      <c r="E6" s="7"/>
      <c r="F6" s="7"/>
    </row>
    <row r="7" spans="2:7" ht="14.25" x14ac:dyDescent="0.45">
      <c r="B7" s="15" t="s">
        <v>148</v>
      </c>
      <c r="C7" s="48">
        <f>'Entrada de Datos'!C6</f>
        <v>0</v>
      </c>
      <c r="D7" s="15" t="s">
        <v>149</v>
      </c>
      <c r="E7" s="48">
        <f>'Entrada de Datos'!C7</f>
        <v>0</v>
      </c>
    </row>
    <row r="8" spans="2:7" ht="14.25" x14ac:dyDescent="0.45">
      <c r="B8" s="15" t="s">
        <v>150</v>
      </c>
      <c r="C8" s="48">
        <f>'Entrada de Datos'!C8</f>
        <v>0</v>
      </c>
      <c r="D8" s="15" t="s">
        <v>151</v>
      </c>
      <c r="E8" s="48">
        <f>'Entrada de Datos'!C11</f>
        <v>0</v>
      </c>
    </row>
    <row r="10" spans="2:7" ht="27.75" customHeight="1" x14ac:dyDescent="0.45">
      <c r="B10" s="6" t="s">
        <v>152</v>
      </c>
      <c r="C10" s="6"/>
      <c r="D10" s="6"/>
      <c r="E10" s="6"/>
      <c r="F10" s="6"/>
    </row>
    <row r="11" spans="2:7" ht="18" customHeight="1" x14ac:dyDescent="0.45">
      <c r="B11" s="5" t="s">
        <v>29</v>
      </c>
      <c r="C11" s="5"/>
      <c r="D11" s="5" t="s">
        <v>153</v>
      </c>
      <c r="E11" s="5"/>
      <c r="F11" s="5" t="s">
        <v>89</v>
      </c>
      <c r="G11" s="5"/>
    </row>
    <row r="12" spans="2:7" ht="34.5" customHeight="1" x14ac:dyDescent="0.45">
      <c r="B12" s="4" t="str">
        <f>'Entrada de Datos'!C19</f>
        <v>Ba 3 Pro</v>
      </c>
      <c r="C12" s="4"/>
      <c r="D12" s="3">
        <f>'Cálculos Internos'!C5</f>
        <v>68000000</v>
      </c>
      <c r="E12" s="3"/>
      <c r="F12" s="49">
        <f>'Cálculos Internos'!C51</f>
        <v>1463753333.3333335</v>
      </c>
    </row>
    <row r="13" spans="2:7" ht="18" customHeight="1" x14ac:dyDescent="0.45">
      <c r="B13" s="5" t="s">
        <v>154</v>
      </c>
      <c r="C13" s="5"/>
      <c r="D13" s="5" t="s">
        <v>155</v>
      </c>
      <c r="E13" s="5"/>
      <c r="F13" s="5" t="s">
        <v>156</v>
      </c>
      <c r="G13" s="5"/>
    </row>
    <row r="14" spans="2:7" ht="34.5" customHeight="1" x14ac:dyDescent="0.45">
      <c r="B14" s="2">
        <f>'Cálculos Internos'!C55</f>
        <v>20.525784313725492</v>
      </c>
      <c r="C14" s="2"/>
      <c r="D14" s="1">
        <f>'Cálculos Internos'!C56</f>
        <v>0.6</v>
      </c>
      <c r="E14" s="1"/>
      <c r="F14" s="50">
        <f>'Cálculos Internos'!C57</f>
        <v>21.525784313725492</v>
      </c>
    </row>
    <row r="16" spans="2:7" ht="27.75" customHeight="1" x14ac:dyDescent="0.45">
      <c r="B16" s="6" t="s">
        <v>157</v>
      </c>
      <c r="C16" s="6"/>
      <c r="D16" s="6"/>
      <c r="E16" s="6"/>
      <c r="F16" s="6"/>
    </row>
    <row r="17" spans="2:5" ht="14.25" x14ac:dyDescent="0.45">
      <c r="B17" s="17" t="s">
        <v>116</v>
      </c>
      <c r="C17" s="17" t="s">
        <v>117</v>
      </c>
      <c r="D17" s="17" t="s">
        <v>118</v>
      </c>
      <c r="E17" s="17" t="s">
        <v>158</v>
      </c>
    </row>
    <row r="18" spans="2:5" ht="14.25" x14ac:dyDescent="0.45">
      <c r="B18" s="23" t="s">
        <v>159</v>
      </c>
      <c r="C18" s="36">
        <f>'Cálculos Internos'!C43</f>
        <v>240000000</v>
      </c>
      <c r="D18" s="37">
        <f>'Cálculos Internos'!D43</f>
        <v>0.16396205189398941</v>
      </c>
      <c r="E18" s="36">
        <f t="shared" ref="E18:E26" si="0">C18/12</f>
        <v>20000000</v>
      </c>
    </row>
    <row r="19" spans="2:5" ht="14.25" x14ac:dyDescent="0.45">
      <c r="B19" s="23" t="s">
        <v>160</v>
      </c>
      <c r="C19" s="36">
        <f>'Cálculos Internos'!C44</f>
        <v>36000000</v>
      </c>
      <c r="D19" s="37">
        <f>'Cálculos Internos'!D44</f>
        <v>2.459430778409841E-2</v>
      </c>
      <c r="E19" s="36">
        <f t="shared" si="0"/>
        <v>3000000</v>
      </c>
    </row>
    <row r="20" spans="2:5" ht="14.25" x14ac:dyDescent="0.45">
      <c r="B20" s="23" t="s">
        <v>161</v>
      </c>
      <c r="C20" s="36">
        <f>'Cálculos Internos'!C45</f>
        <v>23520000</v>
      </c>
      <c r="D20" s="37">
        <f>'Cálculos Internos'!D45</f>
        <v>1.6068281085610963E-2</v>
      </c>
      <c r="E20" s="36">
        <f t="shared" si="0"/>
        <v>1960000</v>
      </c>
    </row>
    <row r="21" spans="2:5" ht="14.25" x14ac:dyDescent="0.45">
      <c r="B21" s="23" t="s">
        <v>162</v>
      </c>
      <c r="C21" s="36">
        <f>'Cálculos Internos'!C46</f>
        <v>380000000</v>
      </c>
      <c r="D21" s="37">
        <f>'Cálculos Internos'!D46</f>
        <v>0.25960658216548321</v>
      </c>
      <c r="E21" s="36">
        <f t="shared" si="0"/>
        <v>31666666.666666668</v>
      </c>
    </row>
    <row r="22" spans="2:5" ht="14.25" x14ac:dyDescent="0.45">
      <c r="B22" s="23" t="s">
        <v>163</v>
      </c>
      <c r="C22" s="36">
        <f>'Cálculos Internos'!C47</f>
        <v>80000000</v>
      </c>
      <c r="D22" s="37">
        <f>'Cálculos Internos'!D47</f>
        <v>5.4654017297996467E-2</v>
      </c>
      <c r="E22" s="36">
        <f t="shared" si="0"/>
        <v>6666666.666666667</v>
      </c>
    </row>
    <row r="23" spans="2:5" ht="14.25" x14ac:dyDescent="0.45">
      <c r="B23" s="23" t="s">
        <v>164</v>
      </c>
      <c r="C23" s="36">
        <f>'Cálculos Internos'!C48</f>
        <v>20833333.333333332</v>
      </c>
      <c r="D23" s="37">
        <f>'Cálculos Internos'!D48</f>
        <v>1.4232817004686579E-2</v>
      </c>
      <c r="E23" s="36">
        <f t="shared" si="0"/>
        <v>1736111.111111111</v>
      </c>
    </row>
    <row r="24" spans="2:5" ht="14.25" x14ac:dyDescent="0.45">
      <c r="B24" s="23" t="s">
        <v>165</v>
      </c>
      <c r="C24" s="36">
        <f>'Cálculos Internos'!C49</f>
        <v>671400000</v>
      </c>
      <c r="D24" s="37">
        <f>'Cálculos Internos'!D49</f>
        <v>0.45868384017343539</v>
      </c>
      <c r="E24" s="36">
        <f t="shared" si="0"/>
        <v>55950000</v>
      </c>
    </row>
    <row r="25" spans="2:5" ht="14.25" x14ac:dyDescent="0.45">
      <c r="B25" s="23" t="s">
        <v>166</v>
      </c>
      <c r="C25" s="36">
        <f>'Cálculos Internos'!C50</f>
        <v>12000000</v>
      </c>
      <c r="D25" s="37">
        <f>'Cálculos Internos'!D50</f>
        <v>8.1981025946994707E-3</v>
      </c>
      <c r="E25" s="36">
        <f t="shared" si="0"/>
        <v>1000000</v>
      </c>
    </row>
    <row r="26" spans="2:5" ht="14.25" x14ac:dyDescent="0.45">
      <c r="B26" s="51" t="s">
        <v>167</v>
      </c>
      <c r="C26" s="52">
        <f>SUM(C18:C25)</f>
        <v>1463753333.3333335</v>
      </c>
      <c r="D26" s="40" t="s">
        <v>128</v>
      </c>
      <c r="E26" s="52">
        <f t="shared" si="0"/>
        <v>121979444.44444446</v>
      </c>
    </row>
    <row r="60" spans="2:7" ht="27.75" customHeight="1" x14ac:dyDescent="0.45">
      <c r="B60" s="6" t="s">
        <v>168</v>
      </c>
      <c r="C60" s="6"/>
      <c r="D60" s="6"/>
      <c r="E60" s="6"/>
      <c r="F60" s="6"/>
    </row>
    <row r="61" spans="2:7" ht="42.75" x14ac:dyDescent="0.45">
      <c r="B61" s="17"/>
      <c r="C61" s="17" t="s">
        <v>135</v>
      </c>
      <c r="D61" s="17" t="s">
        <v>136</v>
      </c>
      <c r="E61" s="17" t="s">
        <v>137</v>
      </c>
      <c r="F61" s="17" t="s">
        <v>138</v>
      </c>
      <c r="G61" s="17" t="s">
        <v>139</v>
      </c>
    </row>
    <row r="62" spans="2:7" ht="14.25" x14ac:dyDescent="0.45">
      <c r="B62" s="15" t="s">
        <v>143</v>
      </c>
      <c r="C62" s="46">
        <f>'Cálculos Internos'!C62</f>
        <v>1463753333.3333335</v>
      </c>
      <c r="D62" s="46">
        <f>'Cálculos Internos'!D62</f>
        <v>2927506666.666667</v>
      </c>
      <c r="E62" s="46">
        <f>'Cálculos Internos'!E62</f>
        <v>4391260000</v>
      </c>
      <c r="F62" s="46">
        <f>'Cálculos Internos'!F62</f>
        <v>5855013333.333334</v>
      </c>
      <c r="G62" s="46">
        <f>'Cálculos Internos'!G62</f>
        <v>7318766666.6666679</v>
      </c>
    </row>
    <row r="63" spans="2:7" ht="14.25" x14ac:dyDescent="0.45">
      <c r="B63" s="23" t="s">
        <v>89</v>
      </c>
      <c r="C63" s="36">
        <f>'Cálculos Internos'!C59</f>
        <v>0</v>
      </c>
      <c r="D63" s="36">
        <f>'Cálculos Internos'!D59</f>
        <v>0</v>
      </c>
      <c r="E63" s="36">
        <f>'Cálculos Internos'!E59</f>
        <v>0</v>
      </c>
      <c r="F63" s="36">
        <f>'Cálculos Internos'!F59</f>
        <v>0</v>
      </c>
      <c r="G63" s="36">
        <f>'Cálculos Internos'!G59</f>
        <v>0</v>
      </c>
    </row>
    <row r="81" spans="2:6" ht="30" customHeight="1" x14ac:dyDescent="0.45">
      <c r="B81" s="53" t="s">
        <v>169</v>
      </c>
      <c r="C81" s="53"/>
      <c r="D81" s="53"/>
      <c r="E81" s="53"/>
      <c r="F81" s="53"/>
    </row>
    <row r="82" spans="2:6" ht="14.25" x14ac:dyDescent="0.45">
      <c r="B82" s="54" t="s">
        <v>170</v>
      </c>
      <c r="C82" s="54"/>
      <c r="D82" s="54"/>
      <c r="E82" s="54"/>
      <c r="F82" s="54"/>
    </row>
    <row r="83" spans="2:6" ht="14.25" x14ac:dyDescent="0.45">
      <c r="B83" s="55" t="s">
        <v>171</v>
      </c>
      <c r="C83" s="55"/>
      <c r="D83" s="55"/>
      <c r="E83" s="55"/>
      <c r="F83" s="55"/>
    </row>
  </sheetData>
  <mergeCells count="20">
    <mergeCell ref="B16:F16"/>
    <mergeCell ref="B60:F60"/>
    <mergeCell ref="B81:F81"/>
    <mergeCell ref="B82:F82"/>
    <mergeCell ref="B83:F83"/>
    <mergeCell ref="B13:C13"/>
    <mergeCell ref="D13:E13"/>
    <mergeCell ref="F13:G13"/>
    <mergeCell ref="B14:C14"/>
    <mergeCell ref="D14:E14"/>
    <mergeCell ref="B11:C11"/>
    <mergeCell ref="D11:E11"/>
    <mergeCell ref="F11:G11"/>
    <mergeCell ref="B12:C12"/>
    <mergeCell ref="D12:E12"/>
    <mergeCell ref="B2:F2"/>
    <mergeCell ref="B3:F3"/>
    <mergeCell ref="B4:F4"/>
    <mergeCell ref="B6:F6"/>
    <mergeCell ref="B10:F10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Entrada de Datos</vt:lpstr>
      <vt:lpstr>Cálculos Internos</vt:lpstr>
      <vt:lpstr>Reporte Ejecutivo</vt:lpstr>
      <vt:lpstr>'Reporte Ejecutivo'!Área_de_impresión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Jhonatan Mejía</cp:lastModifiedBy>
  <cp:revision>1</cp:revision>
  <dcterms:created xsi:type="dcterms:W3CDTF">2026-03-24T22:14:22Z</dcterms:created>
  <dcterms:modified xsi:type="dcterms:W3CDTF">2026-03-24T22:23:02Z</dcterms:modified>
  <dc:language>en-US</dc:language>
</cp:coreProperties>
</file>